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esktop\"/>
    </mc:Choice>
  </mc:AlternateContent>
  <xr:revisionPtr revIDLastSave="0" documentId="8_{ECAFB62E-4F96-4D0D-8DA3-8D752AB8D3AB}" xr6:coauthVersionLast="47" xr6:coauthVersionMax="47" xr10:uidLastSave="{00000000-0000-0000-0000-000000000000}"/>
  <bookViews>
    <workbookView xWindow="-120" yWindow="-120" windowWidth="29040" windowHeight="15720" xr2:uid="{E26E843D-D4BE-4DE9-A9B0-7FF0E6B347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C51" i="1"/>
  <c r="D51" i="1"/>
  <c r="F51" i="1"/>
  <c r="I51" i="1"/>
  <c r="E51" i="1"/>
  <c r="B50" i="1"/>
  <c r="C50" i="1"/>
  <c r="I50" i="1"/>
  <c r="E50" i="1"/>
  <c r="B49" i="1"/>
  <c r="B52" i="1" s="1"/>
  <c r="C49" i="1"/>
  <c r="C52" i="1" s="1"/>
  <c r="D49" i="1"/>
  <c r="D50" i="1" s="1"/>
  <c r="F49" i="1"/>
  <c r="F50" i="1" s="1"/>
  <c r="G49" i="1"/>
  <c r="G51" i="1" s="1"/>
  <c r="H49" i="1"/>
  <c r="H51" i="1" s="1"/>
  <c r="I49" i="1"/>
  <c r="I52" i="1" s="1"/>
  <c r="E49" i="1"/>
  <c r="E52" i="1" s="1"/>
  <c r="J44" i="1"/>
  <c r="J45" i="1"/>
  <c r="J46" i="1"/>
  <c r="J43" i="1"/>
  <c r="C39" i="1"/>
  <c r="D39" i="1"/>
  <c r="E39" i="1"/>
  <c r="F39" i="1"/>
  <c r="I39" i="1"/>
  <c r="B39" i="1"/>
  <c r="C37" i="1"/>
  <c r="D37" i="1"/>
  <c r="I37" i="1"/>
  <c r="B37" i="1"/>
  <c r="C38" i="1"/>
  <c r="C40" i="1" s="1"/>
  <c r="D38" i="1"/>
  <c r="D40" i="1" s="1"/>
  <c r="E38" i="1"/>
  <c r="E37" i="1" s="1"/>
  <c r="F38" i="1"/>
  <c r="F37" i="1" s="1"/>
  <c r="G38" i="1"/>
  <c r="G39" i="1" s="1"/>
  <c r="H38" i="1"/>
  <c r="H39" i="1" s="1"/>
  <c r="I38" i="1"/>
  <c r="I40" i="1" s="1"/>
  <c r="B38" i="1"/>
  <c r="B40" i="1" s="1"/>
  <c r="J32" i="1"/>
  <c r="J33" i="1"/>
  <c r="J34" i="1"/>
  <c r="J31" i="1"/>
  <c r="J16" i="1"/>
  <c r="J17" i="1"/>
  <c r="J18" i="1"/>
  <c r="B21" i="1"/>
  <c r="B22" i="1" s="1"/>
  <c r="D21" i="1"/>
  <c r="D24" i="1" s="1"/>
  <c r="E21" i="1"/>
  <c r="E24" i="1" s="1"/>
  <c r="F21" i="1"/>
  <c r="F23" i="1" s="1"/>
  <c r="G21" i="1"/>
  <c r="G22" i="1" s="1"/>
  <c r="H21" i="1"/>
  <c r="H22" i="1" s="1"/>
  <c r="I21" i="1"/>
  <c r="I23" i="1" s="1"/>
  <c r="C21" i="1"/>
  <c r="C24" i="1" s="1"/>
  <c r="J15" i="1"/>
  <c r="G9" i="1"/>
  <c r="B10" i="1"/>
  <c r="B9" i="1" s="1"/>
  <c r="C10" i="1"/>
  <c r="C11" i="1" s="1"/>
  <c r="D10" i="1"/>
  <c r="D12" i="1" s="1"/>
  <c r="F10" i="1"/>
  <c r="F9" i="1" s="1"/>
  <c r="G10" i="1"/>
  <c r="G12" i="1" s="1"/>
  <c r="H10" i="1"/>
  <c r="H9" i="1" s="1"/>
  <c r="I10" i="1"/>
  <c r="I9" i="1" s="1"/>
  <c r="E10" i="1"/>
  <c r="E11" i="1" s="1"/>
  <c r="J4" i="1"/>
  <c r="J5" i="1"/>
  <c r="J6" i="1"/>
  <c r="J3" i="1"/>
  <c r="H40" i="1" l="1"/>
  <c r="H52" i="1"/>
  <c r="G40" i="1"/>
  <c r="G52" i="1"/>
  <c r="H37" i="1"/>
  <c r="F40" i="1"/>
  <c r="H50" i="1"/>
  <c r="F52" i="1"/>
  <c r="G37" i="1"/>
  <c r="E40" i="1"/>
  <c r="G50" i="1"/>
  <c r="D52" i="1"/>
  <c r="E23" i="1"/>
  <c r="F22" i="1"/>
  <c r="E22" i="1"/>
  <c r="I24" i="1"/>
  <c r="H24" i="1"/>
  <c r="H23" i="1"/>
  <c r="G24" i="1"/>
  <c r="G23" i="1"/>
  <c r="F24" i="1"/>
  <c r="B24" i="1"/>
  <c r="C22" i="1"/>
  <c r="H11" i="1"/>
  <c r="G11" i="1"/>
  <c r="C23" i="1"/>
  <c r="D23" i="1"/>
  <c r="D22" i="1"/>
  <c r="I22" i="1"/>
  <c r="F11" i="1"/>
  <c r="B11" i="1"/>
  <c r="I11" i="1"/>
  <c r="E12" i="1"/>
  <c r="C12" i="1"/>
  <c r="D9" i="1"/>
  <c r="I12" i="1"/>
  <c r="B12" i="1"/>
  <c r="E9" i="1"/>
  <c r="C9" i="1"/>
  <c r="H12" i="1"/>
  <c r="D11" i="1"/>
  <c r="F12" i="1"/>
</calcChain>
</file>

<file path=xl/sharedStrings.xml><?xml version="1.0" encoding="utf-8"?>
<sst xmlns="http://schemas.openxmlformats.org/spreadsheetml/2006/main" count="106" uniqueCount="16">
  <si>
    <t>base</t>
  </si>
  <si>
    <t>x1</t>
  </si>
  <si>
    <t>x2</t>
  </si>
  <si>
    <t>s1</t>
  </si>
  <si>
    <t>s2</t>
  </si>
  <si>
    <t>f1</t>
  </si>
  <si>
    <t>f2</t>
  </si>
  <si>
    <t>Z</t>
  </si>
  <si>
    <t>x3</t>
  </si>
  <si>
    <t>f3</t>
  </si>
  <si>
    <t>s</t>
  </si>
  <si>
    <t>x4</t>
  </si>
  <si>
    <t xml:space="preserve">base </t>
  </si>
  <si>
    <t>s3</t>
  </si>
  <si>
    <t>1)</t>
  </si>
  <si>
    <t>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</si>
</sst>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6CE2-95B4-4ACB-B57F-97A2E22DC319}">
  <dimension ref="A1:L52"/>
  <sheetViews>
    <sheetView tabSelected="1" topLeftCell="A34" zoomScale="130" zoomScaleNormal="130" workbookViewId="0">
      <selection activeCell="I52" sqref="I52"/>
    </sheetView>
  </sheetViews>
  <sheetFormatPr defaultRowHeight="15" x14ac:dyDescent="0.25"/>
  <sheetData>
    <row r="1" spans="1:11" x14ac:dyDescent="0.25">
      <c r="A1" t="s">
        <v>15</v>
      </c>
      <c r="K1" s="1"/>
    </row>
    <row r="2" spans="1:11" x14ac:dyDescent="0.25">
      <c r="A2" s="2" t="s">
        <v>0</v>
      </c>
      <c r="B2" s="2" t="s">
        <v>1</v>
      </c>
      <c r="C2" s="2" t="s">
        <v>2</v>
      </c>
      <c r="D2" s="2" t="s">
        <v>8</v>
      </c>
      <c r="E2" s="3" t="s">
        <v>11</v>
      </c>
      <c r="F2" s="2" t="s">
        <v>5</v>
      </c>
      <c r="G2" s="2" t="s">
        <v>6</v>
      </c>
      <c r="H2" s="2" t="s">
        <v>9</v>
      </c>
      <c r="I2" s="2" t="s">
        <v>10</v>
      </c>
      <c r="J2" s="1"/>
      <c r="K2" s="1"/>
    </row>
    <row r="3" spans="1:11" x14ac:dyDescent="0.25">
      <c r="A3" s="2" t="s">
        <v>5</v>
      </c>
      <c r="B3" s="2">
        <v>1</v>
      </c>
      <c r="C3" s="2">
        <v>2</v>
      </c>
      <c r="D3" s="2">
        <v>1</v>
      </c>
      <c r="E3" s="3">
        <v>1</v>
      </c>
      <c r="F3" s="2">
        <v>1</v>
      </c>
      <c r="G3" s="2">
        <v>0</v>
      </c>
      <c r="H3" s="2">
        <v>0</v>
      </c>
      <c r="I3" s="2">
        <v>100</v>
      </c>
      <c r="J3" s="1">
        <f>I3/E3</f>
        <v>100</v>
      </c>
      <c r="K3" s="1"/>
    </row>
    <row r="4" spans="1:11" x14ac:dyDescent="0.25">
      <c r="A4" s="3" t="s">
        <v>6</v>
      </c>
      <c r="B4" s="3">
        <v>2</v>
      </c>
      <c r="C4" s="3">
        <v>1</v>
      </c>
      <c r="D4" s="3">
        <v>2</v>
      </c>
      <c r="E4" s="3">
        <v>2</v>
      </c>
      <c r="F4" s="3">
        <v>0</v>
      </c>
      <c r="G4" s="3">
        <v>1</v>
      </c>
      <c r="H4" s="3">
        <v>0</v>
      </c>
      <c r="I4" s="3">
        <v>120</v>
      </c>
      <c r="J4" s="4">
        <f t="shared" ref="J4:J6" si="0">I4/E4</f>
        <v>60</v>
      </c>
      <c r="K4" s="1"/>
    </row>
    <row r="5" spans="1:11" x14ac:dyDescent="0.25">
      <c r="A5" s="2" t="s">
        <v>9</v>
      </c>
      <c r="B5" s="2">
        <v>3</v>
      </c>
      <c r="C5" s="2">
        <v>1</v>
      </c>
      <c r="D5" s="2">
        <v>4</v>
      </c>
      <c r="E5" s="3">
        <v>1</v>
      </c>
      <c r="F5" s="2">
        <v>0</v>
      </c>
      <c r="G5" s="2">
        <v>0</v>
      </c>
      <c r="H5" s="2">
        <v>1</v>
      </c>
      <c r="I5" s="2">
        <v>90</v>
      </c>
      <c r="J5" s="1">
        <f t="shared" si="0"/>
        <v>90</v>
      </c>
      <c r="K5" s="1"/>
    </row>
    <row r="6" spans="1:11" x14ac:dyDescent="0.25">
      <c r="A6" s="2" t="s">
        <v>7</v>
      </c>
      <c r="B6" s="2">
        <v>-10</v>
      </c>
      <c r="C6" s="2">
        <v>-12</v>
      </c>
      <c r="D6" s="2">
        <v>-8</v>
      </c>
      <c r="E6" s="3">
        <v>-15</v>
      </c>
      <c r="F6" s="2">
        <v>0</v>
      </c>
      <c r="G6" s="2">
        <v>0</v>
      </c>
      <c r="H6" s="2">
        <v>0</v>
      </c>
      <c r="I6" s="2">
        <v>0</v>
      </c>
      <c r="J6" s="1">
        <f t="shared" si="0"/>
        <v>0</v>
      </c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0</v>
      </c>
      <c r="B8" s="2" t="s">
        <v>1</v>
      </c>
      <c r="C8" s="2" t="s">
        <v>2</v>
      </c>
      <c r="D8" s="2" t="s">
        <v>8</v>
      </c>
      <c r="E8" s="3" t="s">
        <v>11</v>
      </c>
      <c r="F8" s="2" t="s">
        <v>5</v>
      </c>
      <c r="G8" s="2" t="s">
        <v>6</v>
      </c>
      <c r="H8" s="2" t="s">
        <v>9</v>
      </c>
      <c r="I8" s="2" t="s">
        <v>10</v>
      </c>
      <c r="J8" s="1"/>
      <c r="K8" s="1"/>
    </row>
    <row r="9" spans="1:11" x14ac:dyDescent="0.25">
      <c r="A9" s="2" t="s">
        <v>5</v>
      </c>
      <c r="B9" s="5">
        <f t="shared" ref="B9:D9" si="1">B3-B10</f>
        <v>0</v>
      </c>
      <c r="C9" s="5">
        <f t="shared" si="1"/>
        <v>1.5</v>
      </c>
      <c r="D9" s="5">
        <f t="shared" si="1"/>
        <v>0</v>
      </c>
      <c r="E9" s="3">
        <f>E3-E10</f>
        <v>0</v>
      </c>
      <c r="F9" s="5">
        <f t="shared" ref="F9:I9" si="2">F3-F10</f>
        <v>1</v>
      </c>
      <c r="G9" s="5">
        <f t="shared" si="2"/>
        <v>-0.5</v>
      </c>
      <c r="H9" s="5">
        <f t="shared" si="2"/>
        <v>0</v>
      </c>
      <c r="I9" s="5">
        <f t="shared" si="2"/>
        <v>40</v>
      </c>
      <c r="J9" s="1"/>
      <c r="K9" s="1"/>
    </row>
    <row r="10" spans="1:11" x14ac:dyDescent="0.25">
      <c r="A10" s="3" t="s">
        <v>11</v>
      </c>
      <c r="B10" s="3">
        <f t="shared" ref="B10:D10" si="3">B4/2</f>
        <v>1</v>
      </c>
      <c r="C10" s="3">
        <f t="shared" si="3"/>
        <v>0.5</v>
      </c>
      <c r="D10" s="3">
        <f t="shared" si="3"/>
        <v>1</v>
      </c>
      <c r="E10" s="6">
        <f>E4/2</f>
        <v>1</v>
      </c>
      <c r="F10" s="3">
        <f t="shared" ref="F10:I10" si="4">F4/2</f>
        <v>0</v>
      </c>
      <c r="G10" s="3">
        <f t="shared" si="4"/>
        <v>0.5</v>
      </c>
      <c r="H10" s="3">
        <f t="shared" si="4"/>
        <v>0</v>
      </c>
      <c r="I10" s="3">
        <f t="shared" si="4"/>
        <v>60</v>
      </c>
      <c r="J10" s="1"/>
      <c r="K10" s="1"/>
    </row>
    <row r="11" spans="1:11" x14ac:dyDescent="0.25">
      <c r="A11" s="2" t="s">
        <v>9</v>
      </c>
      <c r="B11" s="5">
        <f t="shared" ref="B11:D11" si="5">B5-1*B10</f>
        <v>2</v>
      </c>
      <c r="C11" s="5">
        <f t="shared" si="5"/>
        <v>0.5</v>
      </c>
      <c r="D11" s="5">
        <f t="shared" si="5"/>
        <v>3</v>
      </c>
      <c r="E11" s="3">
        <f>E5-1*E10</f>
        <v>0</v>
      </c>
      <c r="F11" s="5">
        <f t="shared" ref="F11:I11" si="6">F5-1*F10</f>
        <v>0</v>
      </c>
      <c r="G11" s="5">
        <f t="shared" si="6"/>
        <v>-0.5</v>
      </c>
      <c r="H11" s="5">
        <f t="shared" si="6"/>
        <v>1</v>
      </c>
      <c r="I11" s="5">
        <f t="shared" si="6"/>
        <v>30</v>
      </c>
      <c r="J11" s="1"/>
      <c r="K11" s="1"/>
    </row>
    <row r="12" spans="1:11" x14ac:dyDescent="0.25">
      <c r="A12" s="2" t="s">
        <v>7</v>
      </c>
      <c r="B12" s="5">
        <f t="shared" ref="B12:D12" si="7">B6+15*B10</f>
        <v>5</v>
      </c>
      <c r="C12" s="5">
        <f t="shared" si="7"/>
        <v>-4.5</v>
      </c>
      <c r="D12" s="5">
        <f t="shared" si="7"/>
        <v>7</v>
      </c>
      <c r="E12" s="3">
        <f>E6+15*E10</f>
        <v>0</v>
      </c>
      <c r="F12" s="5">
        <f t="shared" ref="F12:I12" si="8">F6+15*F10</f>
        <v>0</v>
      </c>
      <c r="G12" s="5">
        <f t="shared" si="8"/>
        <v>7.5</v>
      </c>
      <c r="H12" s="5">
        <f t="shared" si="8"/>
        <v>0</v>
      </c>
      <c r="I12" s="5">
        <f t="shared" si="8"/>
        <v>900</v>
      </c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5" t="s">
        <v>0</v>
      </c>
      <c r="B14" s="5" t="s">
        <v>1</v>
      </c>
      <c r="C14" s="3" t="s">
        <v>2</v>
      </c>
      <c r="D14" s="5" t="s">
        <v>8</v>
      </c>
      <c r="E14" s="5" t="s">
        <v>11</v>
      </c>
      <c r="F14" s="5" t="s">
        <v>5</v>
      </c>
      <c r="G14" s="5" t="s">
        <v>6</v>
      </c>
      <c r="H14" s="5" t="s">
        <v>9</v>
      </c>
      <c r="I14" s="5" t="s">
        <v>10</v>
      </c>
      <c r="J14" s="1"/>
    </row>
    <row r="15" spans="1:11" x14ac:dyDescent="0.25">
      <c r="A15" s="3" t="s">
        <v>2</v>
      </c>
      <c r="B15" s="3">
        <v>0</v>
      </c>
      <c r="C15" s="3">
        <v>1.5</v>
      </c>
      <c r="D15" s="3">
        <v>0</v>
      </c>
      <c r="E15" s="3">
        <v>0</v>
      </c>
      <c r="F15" s="3">
        <v>1</v>
      </c>
      <c r="G15" s="3">
        <v>-0.5</v>
      </c>
      <c r="H15" s="3">
        <v>0</v>
      </c>
      <c r="I15" s="3">
        <v>40</v>
      </c>
      <c r="J15" s="1">
        <f>I15/C15</f>
        <v>26.666666666666668</v>
      </c>
    </row>
    <row r="16" spans="1:11" x14ac:dyDescent="0.25">
      <c r="A16" s="5" t="s">
        <v>11</v>
      </c>
      <c r="B16" s="5">
        <v>1</v>
      </c>
      <c r="C16" s="3">
        <v>0.5</v>
      </c>
      <c r="D16" s="5">
        <v>1</v>
      </c>
      <c r="E16" s="5">
        <v>1</v>
      </c>
      <c r="F16" s="5">
        <v>0</v>
      </c>
      <c r="G16" s="5">
        <v>0.5</v>
      </c>
      <c r="H16" s="5">
        <v>0</v>
      </c>
      <c r="I16" s="5">
        <v>60</v>
      </c>
      <c r="J16" s="7">
        <f t="shared" ref="J16:J18" si="9">I16/C16</f>
        <v>120</v>
      </c>
    </row>
    <row r="17" spans="1:12" x14ac:dyDescent="0.25">
      <c r="A17" s="5" t="s">
        <v>9</v>
      </c>
      <c r="B17" s="5">
        <v>2</v>
      </c>
      <c r="C17" s="3">
        <v>0.5</v>
      </c>
      <c r="D17" s="5">
        <v>3</v>
      </c>
      <c r="E17" s="5">
        <v>0</v>
      </c>
      <c r="F17" s="5">
        <v>0</v>
      </c>
      <c r="G17" s="5">
        <v>0.5</v>
      </c>
      <c r="H17" s="5">
        <v>1</v>
      </c>
      <c r="I17" s="5">
        <v>30</v>
      </c>
      <c r="J17" s="7">
        <f t="shared" si="9"/>
        <v>60</v>
      </c>
    </row>
    <row r="18" spans="1:12" x14ac:dyDescent="0.25">
      <c r="A18" s="5" t="s">
        <v>7</v>
      </c>
      <c r="B18" s="5">
        <v>5</v>
      </c>
      <c r="C18" s="3">
        <v>-4.5</v>
      </c>
      <c r="D18" s="5">
        <v>7</v>
      </c>
      <c r="E18" s="5">
        <v>0</v>
      </c>
      <c r="F18" s="5">
        <v>0</v>
      </c>
      <c r="G18" s="5">
        <v>7.5</v>
      </c>
      <c r="H18" s="5">
        <v>0</v>
      </c>
      <c r="I18" s="5">
        <v>900</v>
      </c>
      <c r="J18" s="1">
        <f t="shared" si="9"/>
        <v>-200</v>
      </c>
      <c r="K18" s="1"/>
    </row>
    <row r="20" spans="1:12" x14ac:dyDescent="0.25">
      <c r="A20" s="5" t="s">
        <v>0</v>
      </c>
      <c r="B20" s="5" t="s">
        <v>1</v>
      </c>
      <c r="C20" s="3" t="s">
        <v>2</v>
      </c>
      <c r="D20" s="5" t="s">
        <v>8</v>
      </c>
      <c r="E20" s="5" t="s">
        <v>11</v>
      </c>
      <c r="F20" s="5" t="s">
        <v>5</v>
      </c>
      <c r="G20" s="5" t="s">
        <v>6</v>
      </c>
      <c r="H20" s="5" t="s">
        <v>9</v>
      </c>
      <c r="I20" s="5" t="s">
        <v>10</v>
      </c>
    </row>
    <row r="21" spans="1:12" x14ac:dyDescent="0.25">
      <c r="A21" s="3" t="s">
        <v>2</v>
      </c>
      <c r="B21" s="3">
        <f>B15/1.5</f>
        <v>0</v>
      </c>
      <c r="C21" s="6">
        <f>C15/1.5</f>
        <v>1</v>
      </c>
      <c r="D21" s="3">
        <f t="shared" ref="D21:I21" si="10">D15/1.5</f>
        <v>0</v>
      </c>
      <c r="E21" s="3">
        <f t="shared" si="10"/>
        <v>0</v>
      </c>
      <c r="F21" s="3">
        <f t="shared" si="10"/>
        <v>0.66666666666666663</v>
      </c>
      <c r="G21" s="3">
        <f t="shared" si="10"/>
        <v>-0.33333333333333331</v>
      </c>
      <c r="H21" s="3">
        <f t="shared" si="10"/>
        <v>0</v>
      </c>
      <c r="I21" s="3">
        <f t="shared" si="10"/>
        <v>26.666666666666668</v>
      </c>
    </row>
    <row r="22" spans="1:12" x14ac:dyDescent="0.25">
      <c r="A22" s="5" t="s">
        <v>11</v>
      </c>
      <c r="B22" s="5">
        <f>B16-0.5*B21</f>
        <v>1</v>
      </c>
      <c r="C22" s="3">
        <f>C16-0.5*C21</f>
        <v>0</v>
      </c>
      <c r="D22" s="5">
        <f t="shared" ref="D22:I22" si="11">D16-0.5*D21</f>
        <v>1</v>
      </c>
      <c r="E22" s="5">
        <f t="shared" si="11"/>
        <v>1</v>
      </c>
      <c r="F22" s="5">
        <f t="shared" si="11"/>
        <v>-0.33333333333333331</v>
      </c>
      <c r="G22" s="5">
        <f t="shared" si="11"/>
        <v>0.66666666666666663</v>
      </c>
      <c r="H22" s="5">
        <f t="shared" si="11"/>
        <v>0</v>
      </c>
      <c r="I22" s="5">
        <f t="shared" si="11"/>
        <v>46.666666666666664</v>
      </c>
    </row>
    <row r="23" spans="1:12" x14ac:dyDescent="0.25">
      <c r="A23" s="5" t="s">
        <v>9</v>
      </c>
      <c r="B23" s="5">
        <v>2</v>
      </c>
      <c r="C23" s="3">
        <f>C17-0.5*C21</f>
        <v>0</v>
      </c>
      <c r="D23" s="5">
        <f t="shared" ref="D23:I23" si="12">D17-0.5*D21</f>
        <v>3</v>
      </c>
      <c r="E23" s="5">
        <f t="shared" si="12"/>
        <v>0</v>
      </c>
      <c r="F23" s="5">
        <f t="shared" si="12"/>
        <v>-0.33333333333333331</v>
      </c>
      <c r="G23" s="5">
        <f t="shared" si="12"/>
        <v>0.66666666666666663</v>
      </c>
      <c r="H23" s="5">
        <f t="shared" si="12"/>
        <v>1</v>
      </c>
      <c r="I23" s="5">
        <f t="shared" si="12"/>
        <v>16.666666666666664</v>
      </c>
    </row>
    <row r="24" spans="1:12" x14ac:dyDescent="0.25">
      <c r="A24" s="5" t="s">
        <v>7</v>
      </c>
      <c r="B24" s="5">
        <f>B18+4.5*B21</f>
        <v>5</v>
      </c>
      <c r="C24" s="3">
        <f>C18+4.5*C21</f>
        <v>0</v>
      </c>
      <c r="D24" s="5">
        <f t="shared" ref="D24:I24" si="13">D18+4.5*D21</f>
        <v>7</v>
      </c>
      <c r="E24" s="5">
        <f t="shared" si="13"/>
        <v>0</v>
      </c>
      <c r="F24" s="5">
        <f t="shared" si="13"/>
        <v>3</v>
      </c>
      <c r="G24" s="5">
        <f t="shared" si="13"/>
        <v>6</v>
      </c>
      <c r="H24" s="5">
        <f t="shared" si="13"/>
        <v>0</v>
      </c>
      <c r="I24" s="5">
        <f t="shared" si="13"/>
        <v>1020</v>
      </c>
    </row>
    <row r="26" spans="1:12" x14ac:dyDescent="0.25">
      <c r="L26" s="1"/>
    </row>
    <row r="29" spans="1:12" x14ac:dyDescent="0.25">
      <c r="A29" t="s">
        <v>14</v>
      </c>
    </row>
    <row r="30" spans="1:12" x14ac:dyDescent="0.25">
      <c r="A30" s="2" t="s">
        <v>12</v>
      </c>
      <c r="B30" s="3" t="s">
        <v>1</v>
      </c>
      <c r="C30" s="5" t="s">
        <v>2</v>
      </c>
      <c r="D30" s="2" t="s">
        <v>8</v>
      </c>
      <c r="E30" s="2" t="s">
        <v>11</v>
      </c>
      <c r="F30" s="2" t="s">
        <v>5</v>
      </c>
      <c r="G30" s="2" t="s">
        <v>6</v>
      </c>
      <c r="H30" s="2" t="s">
        <v>9</v>
      </c>
      <c r="I30" s="2" t="s">
        <v>10</v>
      </c>
      <c r="J30" s="1"/>
      <c r="K30" s="1"/>
    </row>
    <row r="31" spans="1:12" x14ac:dyDescent="0.25">
      <c r="A31" s="2" t="s">
        <v>3</v>
      </c>
      <c r="B31" s="3">
        <v>6</v>
      </c>
      <c r="C31" s="5">
        <v>5</v>
      </c>
      <c r="D31" s="2">
        <v>4</v>
      </c>
      <c r="E31" s="2">
        <v>4</v>
      </c>
      <c r="F31" s="2">
        <v>1</v>
      </c>
      <c r="G31" s="2">
        <v>0</v>
      </c>
      <c r="H31" s="2">
        <v>0</v>
      </c>
      <c r="I31" s="2">
        <v>300</v>
      </c>
      <c r="J31" s="1">
        <f>I31/B31</f>
        <v>50</v>
      </c>
      <c r="K31" s="1"/>
    </row>
    <row r="32" spans="1:12" x14ac:dyDescent="0.25">
      <c r="A32" s="3" t="s">
        <v>4</v>
      </c>
      <c r="B32" s="3">
        <v>3</v>
      </c>
      <c r="C32" s="3">
        <v>2</v>
      </c>
      <c r="D32" s="3">
        <v>1</v>
      </c>
      <c r="E32" s="3">
        <v>1</v>
      </c>
      <c r="F32" s="3">
        <v>0</v>
      </c>
      <c r="G32" s="3">
        <v>1</v>
      </c>
      <c r="H32" s="3">
        <v>0</v>
      </c>
      <c r="I32" s="3">
        <v>120</v>
      </c>
      <c r="J32" s="4">
        <f t="shared" ref="J32:J34" si="14">I32/B32</f>
        <v>40</v>
      </c>
      <c r="K32" s="1"/>
      <c r="L32" s="1"/>
    </row>
    <row r="33" spans="1:12" x14ac:dyDescent="0.25">
      <c r="A33" s="2" t="s">
        <v>13</v>
      </c>
      <c r="B33" s="3">
        <v>2</v>
      </c>
      <c r="C33" s="5">
        <v>2</v>
      </c>
      <c r="D33" s="2">
        <v>1</v>
      </c>
      <c r="E33" s="2">
        <v>3</v>
      </c>
      <c r="F33" s="2">
        <v>0</v>
      </c>
      <c r="G33" s="2">
        <v>0</v>
      </c>
      <c r="H33" s="2">
        <v>1</v>
      </c>
      <c r="I33" s="2">
        <v>160</v>
      </c>
      <c r="J33" s="1">
        <f t="shared" si="14"/>
        <v>80</v>
      </c>
      <c r="K33" s="1"/>
      <c r="L33" s="1"/>
    </row>
    <row r="34" spans="1:12" x14ac:dyDescent="0.25">
      <c r="A34" s="2" t="s">
        <v>7</v>
      </c>
      <c r="B34" s="3">
        <v>-600</v>
      </c>
      <c r="C34" s="5">
        <v>-500</v>
      </c>
      <c r="D34" s="2">
        <v>-350</v>
      </c>
      <c r="E34" s="2">
        <v>-400</v>
      </c>
      <c r="F34" s="2">
        <v>0</v>
      </c>
      <c r="G34" s="2">
        <v>0</v>
      </c>
      <c r="H34" s="2">
        <v>0</v>
      </c>
      <c r="I34" s="2">
        <v>0</v>
      </c>
      <c r="J34" s="1">
        <f t="shared" si="14"/>
        <v>0</v>
      </c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2" t="s">
        <v>12</v>
      </c>
      <c r="B36" s="3" t="s">
        <v>1</v>
      </c>
      <c r="C36" s="5" t="s">
        <v>2</v>
      </c>
      <c r="D36" s="2" t="s">
        <v>8</v>
      </c>
      <c r="E36" s="2" t="s">
        <v>11</v>
      </c>
      <c r="F36" s="2" t="s">
        <v>5</v>
      </c>
      <c r="G36" s="2" t="s">
        <v>6</v>
      </c>
      <c r="H36" s="2" t="s">
        <v>9</v>
      </c>
      <c r="I36" s="2" t="s">
        <v>10</v>
      </c>
      <c r="J36" s="1"/>
      <c r="K36" s="1"/>
      <c r="L36" s="1"/>
    </row>
    <row r="37" spans="1:12" x14ac:dyDescent="0.25">
      <c r="A37" s="2" t="s">
        <v>3</v>
      </c>
      <c r="B37" s="3">
        <f>B31-6*B38</f>
        <v>0</v>
      </c>
      <c r="C37" s="5">
        <f t="shared" ref="C37:I37" si="15">C31-6*C38</f>
        <v>1</v>
      </c>
      <c r="D37" s="5">
        <f t="shared" si="15"/>
        <v>2</v>
      </c>
      <c r="E37" s="5">
        <f t="shared" si="15"/>
        <v>2</v>
      </c>
      <c r="F37" s="5">
        <f t="shared" si="15"/>
        <v>1</v>
      </c>
      <c r="G37" s="5">
        <f t="shared" si="15"/>
        <v>-2</v>
      </c>
      <c r="H37" s="5">
        <f t="shared" si="15"/>
        <v>0</v>
      </c>
      <c r="I37" s="5">
        <f t="shared" si="15"/>
        <v>60</v>
      </c>
      <c r="J37" s="1"/>
      <c r="K37" s="1"/>
      <c r="L37" s="1"/>
    </row>
    <row r="38" spans="1:12" x14ac:dyDescent="0.25">
      <c r="A38" s="3" t="s">
        <v>1</v>
      </c>
      <c r="B38" s="3">
        <f>B32/3</f>
        <v>1</v>
      </c>
      <c r="C38" s="3">
        <f t="shared" ref="C38:I38" si="16">C32/3</f>
        <v>0.66666666666666663</v>
      </c>
      <c r="D38" s="3">
        <f t="shared" si="16"/>
        <v>0.33333333333333331</v>
      </c>
      <c r="E38" s="3">
        <f t="shared" si="16"/>
        <v>0.33333333333333331</v>
      </c>
      <c r="F38" s="3">
        <f t="shared" si="16"/>
        <v>0</v>
      </c>
      <c r="G38" s="3">
        <f t="shared" si="16"/>
        <v>0.33333333333333331</v>
      </c>
      <c r="H38" s="3">
        <f t="shared" si="16"/>
        <v>0</v>
      </c>
      <c r="I38" s="3">
        <f t="shared" si="16"/>
        <v>40</v>
      </c>
      <c r="J38" s="1"/>
      <c r="K38" s="1"/>
      <c r="L38" s="1"/>
    </row>
    <row r="39" spans="1:12" x14ac:dyDescent="0.25">
      <c r="A39" s="2" t="s">
        <v>13</v>
      </c>
      <c r="B39" s="3">
        <f>B33-2*B38</f>
        <v>0</v>
      </c>
      <c r="C39" s="5">
        <f t="shared" ref="C39:I39" si="17">C33-2*C38</f>
        <v>0.66666666666666674</v>
      </c>
      <c r="D39" s="5">
        <f t="shared" si="17"/>
        <v>0.33333333333333337</v>
      </c>
      <c r="E39" s="5">
        <f t="shared" si="17"/>
        <v>2.3333333333333335</v>
      </c>
      <c r="F39" s="5">
        <f t="shared" si="17"/>
        <v>0</v>
      </c>
      <c r="G39" s="5">
        <f t="shared" si="17"/>
        <v>-0.66666666666666663</v>
      </c>
      <c r="H39" s="5">
        <f t="shared" si="17"/>
        <v>1</v>
      </c>
      <c r="I39" s="5">
        <f t="shared" si="17"/>
        <v>80</v>
      </c>
      <c r="J39" s="1"/>
      <c r="K39" s="1"/>
      <c r="L39" s="1"/>
    </row>
    <row r="40" spans="1:12" x14ac:dyDescent="0.25">
      <c r="A40" s="2" t="s">
        <v>7</v>
      </c>
      <c r="B40" s="3">
        <f>B34+600*B38</f>
        <v>0</v>
      </c>
      <c r="C40" s="5">
        <f t="shared" ref="C40:I40" si="18">C34+600*C38</f>
        <v>-100</v>
      </c>
      <c r="D40" s="5">
        <f t="shared" si="18"/>
        <v>-150</v>
      </c>
      <c r="E40" s="5">
        <f t="shared" si="18"/>
        <v>-200</v>
      </c>
      <c r="F40" s="5">
        <f t="shared" si="18"/>
        <v>0</v>
      </c>
      <c r="G40" s="5">
        <f t="shared" si="18"/>
        <v>200</v>
      </c>
      <c r="H40" s="5">
        <f t="shared" si="18"/>
        <v>0</v>
      </c>
      <c r="I40" s="5">
        <f t="shared" si="18"/>
        <v>24000</v>
      </c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2" x14ac:dyDescent="0.25">
      <c r="A42" s="5" t="s">
        <v>12</v>
      </c>
      <c r="B42" s="5" t="s">
        <v>1</v>
      </c>
      <c r="C42" s="5" t="s">
        <v>2</v>
      </c>
      <c r="D42" s="5" t="s">
        <v>8</v>
      </c>
      <c r="E42" s="3" t="s">
        <v>11</v>
      </c>
      <c r="F42" s="5" t="s">
        <v>5</v>
      </c>
      <c r="G42" s="5" t="s">
        <v>6</v>
      </c>
      <c r="H42" s="5" t="s">
        <v>9</v>
      </c>
      <c r="I42" s="5" t="s">
        <v>10</v>
      </c>
      <c r="J42" s="1"/>
      <c r="K42" s="1"/>
    </row>
    <row r="43" spans="1:12" x14ac:dyDescent="0.25">
      <c r="A43" s="3" t="s">
        <v>11</v>
      </c>
      <c r="B43" s="3">
        <v>0</v>
      </c>
      <c r="C43" s="3">
        <v>1</v>
      </c>
      <c r="D43" s="3">
        <v>2</v>
      </c>
      <c r="E43" s="3">
        <v>2</v>
      </c>
      <c r="F43" s="3">
        <v>1</v>
      </c>
      <c r="G43" s="3">
        <v>-2</v>
      </c>
      <c r="H43" s="3">
        <v>0</v>
      </c>
      <c r="I43" s="3">
        <v>60</v>
      </c>
      <c r="J43" s="4">
        <f>I43/E43</f>
        <v>30</v>
      </c>
      <c r="K43" s="1"/>
    </row>
    <row r="44" spans="1:12" x14ac:dyDescent="0.25">
      <c r="A44" s="5" t="s">
        <v>4</v>
      </c>
      <c r="B44" s="5">
        <v>1</v>
      </c>
      <c r="C44" s="5">
        <v>0.66666999999999998</v>
      </c>
      <c r="D44" s="5">
        <v>0.33333000000000002</v>
      </c>
      <c r="E44" s="3">
        <v>0.33333000000000002</v>
      </c>
      <c r="F44" s="5">
        <v>0</v>
      </c>
      <c r="G44" s="5">
        <v>0.33333000000000002</v>
      </c>
      <c r="H44" s="5">
        <v>0</v>
      </c>
      <c r="I44" s="5">
        <v>40</v>
      </c>
      <c r="J44" s="1">
        <f t="shared" ref="J44:J46" si="19">I44/E44</f>
        <v>120.00120001200011</v>
      </c>
      <c r="K44" s="1"/>
    </row>
    <row r="45" spans="1:12" x14ac:dyDescent="0.25">
      <c r="A45" s="5" t="s">
        <v>13</v>
      </c>
      <c r="B45" s="5">
        <v>0</v>
      </c>
      <c r="C45" s="5">
        <v>0.66666999999999998</v>
      </c>
      <c r="D45" s="5">
        <v>0.33333000000000002</v>
      </c>
      <c r="E45" s="3">
        <v>2.3333300000000001</v>
      </c>
      <c r="F45" s="5">
        <v>0</v>
      </c>
      <c r="G45" s="5">
        <v>-0.66666999999999998</v>
      </c>
      <c r="H45" s="5">
        <v>1</v>
      </c>
      <c r="I45" s="5">
        <v>80</v>
      </c>
      <c r="J45" s="1">
        <f t="shared" si="19"/>
        <v>34.28576326537609</v>
      </c>
      <c r="K45" s="1"/>
    </row>
    <row r="46" spans="1:12" x14ac:dyDescent="0.25">
      <c r="A46" s="5" t="s">
        <v>7</v>
      </c>
      <c r="B46" s="5">
        <v>0</v>
      </c>
      <c r="C46" s="5">
        <v>-100</v>
      </c>
      <c r="D46" s="5">
        <v>-150</v>
      </c>
      <c r="E46" s="3">
        <v>-200</v>
      </c>
      <c r="F46" s="5">
        <v>0</v>
      </c>
      <c r="G46" s="5">
        <v>200</v>
      </c>
      <c r="H46" s="5">
        <v>0</v>
      </c>
      <c r="I46" s="5">
        <v>24000</v>
      </c>
      <c r="J46" s="1">
        <f t="shared" si="19"/>
        <v>-120</v>
      </c>
      <c r="K46" s="1"/>
    </row>
    <row r="48" spans="1:12" x14ac:dyDescent="0.25">
      <c r="A48" s="5" t="s">
        <v>12</v>
      </c>
      <c r="B48" s="5" t="s">
        <v>1</v>
      </c>
      <c r="C48" s="5" t="s">
        <v>2</v>
      </c>
      <c r="D48" s="5" t="s">
        <v>8</v>
      </c>
      <c r="E48" s="5" t="s">
        <v>11</v>
      </c>
      <c r="F48" s="5" t="s">
        <v>5</v>
      </c>
      <c r="G48" s="5" t="s">
        <v>6</v>
      </c>
      <c r="H48" s="5" t="s">
        <v>9</v>
      </c>
      <c r="I48" s="5" t="s">
        <v>10</v>
      </c>
    </row>
    <row r="49" spans="1:9" x14ac:dyDescent="0.25">
      <c r="A49" s="5" t="s">
        <v>3</v>
      </c>
      <c r="B49" s="5">
        <f t="shared" ref="B49:D49" si="20">B43/2</f>
        <v>0</v>
      </c>
      <c r="C49" s="5">
        <f t="shared" si="20"/>
        <v>0.5</v>
      </c>
      <c r="D49" s="5">
        <f t="shared" si="20"/>
        <v>1</v>
      </c>
      <c r="E49" s="5">
        <f>E43/2</f>
        <v>1</v>
      </c>
      <c r="F49" s="5">
        <f t="shared" ref="F49:I49" si="21">F43/2</f>
        <v>0.5</v>
      </c>
      <c r="G49" s="5">
        <f t="shared" si="21"/>
        <v>-1</v>
      </c>
      <c r="H49" s="5">
        <f t="shared" si="21"/>
        <v>0</v>
      </c>
      <c r="I49" s="5">
        <f t="shared" si="21"/>
        <v>30</v>
      </c>
    </row>
    <row r="50" spans="1:9" x14ac:dyDescent="0.25">
      <c r="A50" s="5" t="s">
        <v>4</v>
      </c>
      <c r="B50" s="5">
        <f t="shared" ref="B50:D50" si="22">B44-0.33333*B49</f>
        <v>1</v>
      </c>
      <c r="C50" s="5">
        <f t="shared" si="22"/>
        <v>0.50000500000000003</v>
      </c>
      <c r="D50" s="5">
        <f t="shared" si="22"/>
        <v>0</v>
      </c>
      <c r="E50" s="5">
        <f>E44-0.33333*E49</f>
        <v>0</v>
      </c>
      <c r="F50" s="5">
        <f t="shared" ref="F50:I50" si="23">F44-0.33333*F49</f>
        <v>-0.16666500000000001</v>
      </c>
      <c r="G50" s="5">
        <f t="shared" si="23"/>
        <v>0.66666000000000003</v>
      </c>
      <c r="H50" s="5">
        <f t="shared" si="23"/>
        <v>0</v>
      </c>
      <c r="I50" s="5">
        <f t="shared" si="23"/>
        <v>30.0001</v>
      </c>
    </row>
    <row r="51" spans="1:9" x14ac:dyDescent="0.25">
      <c r="A51" s="5" t="s">
        <v>13</v>
      </c>
      <c r="B51" s="5">
        <f t="shared" ref="B51:D51" si="24">B45-2.33333*B49</f>
        <v>0</v>
      </c>
      <c r="C51" s="5">
        <f t="shared" si="24"/>
        <v>-0.49999500000000008</v>
      </c>
      <c r="D51" s="5">
        <f t="shared" si="24"/>
        <v>-2</v>
      </c>
      <c r="E51" s="5">
        <f>E45-2.33333*E49</f>
        <v>0</v>
      </c>
      <c r="F51" s="5">
        <f t="shared" ref="F51:I51" si="25">F45-2.33333*F49</f>
        <v>-1.1666650000000001</v>
      </c>
      <c r="G51" s="5">
        <f t="shared" si="25"/>
        <v>1.6666600000000003</v>
      </c>
      <c r="H51" s="5">
        <f t="shared" si="25"/>
        <v>1</v>
      </c>
      <c r="I51" s="5">
        <f t="shared" si="25"/>
        <v>10.000100000000003</v>
      </c>
    </row>
    <row r="52" spans="1:9" x14ac:dyDescent="0.25">
      <c r="A52" s="5" t="s">
        <v>7</v>
      </c>
      <c r="B52" s="5">
        <f t="shared" ref="B52:D52" si="26">B46+200*B49</f>
        <v>0</v>
      </c>
      <c r="C52" s="5">
        <f t="shared" si="26"/>
        <v>0</v>
      </c>
      <c r="D52" s="5">
        <f t="shared" si="26"/>
        <v>50</v>
      </c>
      <c r="E52" s="5">
        <f>E46+200*E49</f>
        <v>0</v>
      </c>
      <c r="F52" s="5">
        <f t="shared" ref="F52:I52" si="27">F46+200*F49</f>
        <v>100</v>
      </c>
      <c r="G52" s="5">
        <f t="shared" si="27"/>
        <v>0</v>
      </c>
      <c r="H52" s="5">
        <f t="shared" si="27"/>
        <v>0</v>
      </c>
      <c r="I52" s="5">
        <f t="shared" si="27"/>
        <v>30000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Universidade Franciscana - UFN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2025-11-07T21:25:49Z</dcterms:created>
  <dcterms:modified xsi:type="dcterms:W3CDTF">2025-11-07T22:49:31Z</dcterms:modified>
</cp:coreProperties>
</file>